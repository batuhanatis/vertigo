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6268\Desktop\Vertigo\"/>
    </mc:Choice>
  </mc:AlternateContent>
  <xr:revisionPtr revIDLastSave="0" documentId="13_ncr:1_{3961BA6E-0883-4A3F-9344-B9F6ED92C43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port Worksheet" sheetId="1" r:id="rId1"/>
    <sheet name="Sheet1" sheetId="3" r:id="rId2"/>
    <sheet name="SQL" sheetId="2" r:id="rId3"/>
  </sheets>
  <definedNames>
    <definedName name="_xlnm._FilterDatabase" localSheetId="0" hidden="1">'Export Worksheet'!$A$1:$C$61</definedName>
  </definedNames>
  <calcPr calcId="0"/>
</workbook>
</file>

<file path=xl/sharedStrings.xml><?xml version="1.0" encoding="utf-8"?>
<sst xmlns="http://schemas.openxmlformats.org/spreadsheetml/2006/main" count="67" uniqueCount="7">
  <si>
    <t>VARIANT</t>
  </si>
  <si>
    <t>CALENDAR_DAY</t>
  </si>
  <si>
    <t>DAU</t>
  </si>
  <si>
    <t>A</t>
  </si>
  <si>
    <t>B</t>
  </si>
  <si>
    <t>WITH
-- 1) Günler: 1..30
days(day) AS (
  SELECT 1 FROM dual
  UNION ALL
  SELECT day + 1 FROM days WHERE day &lt; 30
),
-- 2) Variant metrikleri
variants AS (
  SELECT 'A' AS variant,
         0.0305 AS daily_purchase_ratio,
         9.8    AS ecpm,
         2.3    AS ad_imp_per_dau,
         0.53   AS r1,
         0.27   AS r3,
         0.17   AS r7,
         0.06   AS r14
  FROM dual
  UNION ALL
  SELECT 'B',
         0.0315,
         10.8,
         1.6,
         0.48,
         0.25,
         0.19,
         0.09
  FROM dual
),
-- 3) Cohort ve calendar günleri
cohort AS (
  SELECT day AS cohort_day FROM days
),
calendar AS (
  SELECT day AS calendar_day FROM days
),
-- 4) Base retention (step function)
cohort_age_base AS (
  SELECT
    v.variant,
    c.cohort_day,
    d.calendar_day,
    (d.calendar_day - c.cohort_day + 1) AS age,
    CASE
      WHEN (d.calendar_day - c.cohort_day + 1) = 1 THEN v.r1
      WHEN (d.calendar_day - c.cohort_day + 1) BETWEEN 2 AND 3 THEN v.r3
      WHEN (d.calendar_day - c.cohort_day + 1) BETWEEN 4 AND 7 THEN v.r7
      ELSE v.r14
    END AS retention
  FROM variants v
  CROSS JOIN cohort c
  JOIN calendar d
    ON d.calendar_day &gt;= c.cohort_day
),
-- 5) Base DAU (20.000 install/gün)
daily_dau_base AS (
  SELECT
    variant,
    calendar_day,
    SUM(20000 * retention) AS dau
  FROM cohort_age_base
  GROUP BY variant, calendar_day
),
-- 6) Base günlük gelir (purchase + ads)
daily_revenue_base AS (
  SELECT
    d.variant,
    d.calendar_day,
    (20000 * v.daily_purchase_ratio) AS purchase_rev,
    (d.dau * v.ad_imp_per_dau * (v.ecpm / 1000)) AS ad_rev
  FROM daily_dau_base d
  JOIN variants v
    ON d.variant = v.variant
),
-- 7) 10 günlük sale senaryosu (Day 15–24, purchase ratio +0.01)
daily_revenue_sale AS (
  SELECT
    d.variant,
    d.calendar_day,
    (20000 *
      CASE
        WHEN d.calendar_day BETWEEN 15 AND 24
          THEN v.daily_purchase_ratio + 0.01
        ELSE v.daily_purchase_ratio
      END
    ) AS total_rev_sale_purchase,
    (d.dau * v.ad_imp_per_dau * (v.ecpm / 1000)) AS total_rev_sale_ads
  FROM daily_dau_base d
  JOIN variants v
    ON d.variant = v.variant
),
-- 8) Yeni user source senaryosu için retention tabloları
old_source_retention AS (
  SELECT
    v.variant,
    d.day AS age,
    CASE
      WHEN d.day = 1 THEN v.r1
      WHEN d.day BETWEEN 2 AND 3 THEN v.r3
      WHEN d.day BETWEEN 4 AND 7 THEN v.r7
      ELSE v.r14
    END AS retention
  FROM variants v
  CROSS JOIN days d
),
new_source_retention AS (
  SELECT
    v.variant,
    d.day AS age,
    CASE
      WHEN v.variant = 'A'
        THEN 0.58 * EXP(-0.12 * (d.day - 1))
      WHEN v.variant = 'B'
        THEN 0.52 * EXP(-0.10 * (d.day - 1))
    END AS retention
  FROM variants v
  CROSS JOIN days d
),
-- 9) Yeni source: cohort + aktif kullanıcı sayısı
--    Day 1–19: sadece eski source (20k)
--    Day 20+: 12k eski + 8k yeni
cohort_age_newsource AS (
  SELECT
    v.variant,
    c.cohort_day,
    d.calendar_day,
    (d.calendar_day - c.cohort_day + 1) AS age,
    CASE
      WHEN c.cohort_day &lt; 20 THEN
        20000 * o.retention
      ELSE
        12000 * o.retention + 8000 * n.retention
    END AS active_users
  FROM variants v
  CROSS JOIN cohort c
  JOIN calendar d
    ON d.calendar_day &gt;= c.cohort_day
  JOIN old_source_retention o
    ON o.variant = v.variant
   AND o.age = (d.calendar_day - c.cohort_day + 1)
  JOIN new_source_retention n
    ON n.variant = v.variant
   AND n.age = (d.calendar_day - c.cohort_day + 1)
),
daily_dau_newsource AS (
  SELECT
    variant,
    calendar_day,
    SUM(active_users) AS dau
  FROM cohort_age_newsource
  GROUP BY variant, calendar_day
),
daily_revenue_newsource AS (
  SELECT
    d.variant,
    d.calendar_day,
    (20000 * v.daily_purchase_ratio) AS purchase_rev,
    (d.dau * v.ad_imp_per_dau * (v.ecpm / 1000)) AS ad_rev
  FROM daily_dau_newsource d
  JOIN variants v
    ON d.variant = v.variant
)
select variant, calendar_day, dau from daily_dau_newsource order by calendar_day
-- 10) Cevaplar
 /* SELECT
  'A' AS Question,
  b.variant,
  15 AS day_limit,
  b.dau AS value
FROM daily_dau_base b
WHERE b.calendar_day = 15
UNION ALL
SELECT
  'B' AS Question,
  r.variant,
  15 AS day_limit,
  SUM(r.purchase_rev + r.ad_rev) AS value
FROM daily_revenue_base r
WHERE r.calendar_day &lt;= 15
GROUP BY r.variant
UNION ALL
SELECT
  'C' AS Question,
  r.variant,
  30 AS day_limit,
  SUM(r.purchase_rev + r.ad_rev) AS value
FROM daily_revenue_base r
WHERE r.calendar_day &lt;= 30
GROUP BY r.variant
UNION ALL
SELECT
  'D' AS Question,
  r.variant,
  30 AS day_limit,
  SUM(r.total_rev_sale_purchase + r.total_rev_sale_ads) AS value
FROM daily_revenue_sale r
WHERE r.calendar_day &lt;= 30
GROUP BY r.variant
UNION ALL
SELECT
  'E' AS Question,
  r.variant,
  30 AS day_limit,
  SUM(r.purchase_rev + r.ad_rev) AS value
FROM daily_revenue_newsource r
WHERE r.calendar_day &lt;= 30
GROUP BY r.variant
ORDER BY Question, variant */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</si>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</sst>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Daily</a:t>
            </a:r>
            <a:r>
              <a:rPr lang="tr-TR" baseline="0"/>
              <a:t> Active Users - New Source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Sheet1!$C$4:$AF$4</c:f>
              <c:numCache>
                <c:formatCode>General</c:formatCode>
                <c:ptCount val="30"/>
                <c:pt idx="0">
                  <c:v>10600</c:v>
                </c:pt>
                <c:pt idx="1">
                  <c:v>16000</c:v>
                </c:pt>
                <c:pt idx="2">
                  <c:v>21400</c:v>
                </c:pt>
                <c:pt idx="3">
                  <c:v>24800</c:v>
                </c:pt>
                <c:pt idx="4">
                  <c:v>28200</c:v>
                </c:pt>
                <c:pt idx="5">
                  <c:v>31600</c:v>
                </c:pt>
                <c:pt idx="6">
                  <c:v>35000</c:v>
                </c:pt>
                <c:pt idx="7">
                  <c:v>36200</c:v>
                </c:pt>
                <c:pt idx="8">
                  <c:v>37400</c:v>
                </c:pt>
                <c:pt idx="9">
                  <c:v>38600</c:v>
                </c:pt>
                <c:pt idx="10">
                  <c:v>39800</c:v>
                </c:pt>
                <c:pt idx="11">
                  <c:v>41000</c:v>
                </c:pt>
                <c:pt idx="12">
                  <c:v>42200</c:v>
                </c:pt>
                <c:pt idx="13">
                  <c:v>43400</c:v>
                </c:pt>
                <c:pt idx="14">
                  <c:v>44600</c:v>
                </c:pt>
                <c:pt idx="15">
                  <c:v>45800</c:v>
                </c:pt>
                <c:pt idx="16">
                  <c:v>47000</c:v>
                </c:pt>
                <c:pt idx="17">
                  <c:v>48200</c:v>
                </c:pt>
                <c:pt idx="18">
                  <c:v>49400</c:v>
                </c:pt>
                <c:pt idx="19">
                  <c:v>51000</c:v>
                </c:pt>
                <c:pt idx="20">
                  <c:v>54155.310826367611</c:v>
                </c:pt>
                <c:pt idx="21">
                  <c:v>56845.264101716421</c:v>
                </c:pt>
                <c:pt idx="22">
                  <c:v>59922.482254686001</c:v>
                </c:pt>
                <c:pt idx="23">
                  <c:v>62633.637192666494</c:v>
                </c:pt>
                <c:pt idx="24">
                  <c:v>65020.12318414278</c:v>
                </c:pt>
                <c:pt idx="25">
                  <c:v>67118.653651797053</c:v>
                </c:pt>
                <c:pt idx="26">
                  <c:v>69841.790480507974</c:v>
                </c:pt>
                <c:pt idx="27">
                  <c:v>72338.41347143249</c:v>
                </c:pt>
                <c:pt idx="28">
                  <c:v>74634.136710425009</c:v>
                </c:pt>
                <c:pt idx="29">
                  <c:v>76751.677853697634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5-41DC-8316-8E7AF953673D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Sheet1!$C$5:$AF$5</c:f>
              <c:numCache>
                <c:formatCode>General</c:formatCode>
                <c:ptCount val="30"/>
                <c:pt idx="0">
                  <c:v>9600</c:v>
                </c:pt>
                <c:pt idx="1">
                  <c:v>14600</c:v>
                </c:pt>
                <c:pt idx="2">
                  <c:v>19600</c:v>
                </c:pt>
                <c:pt idx="3">
                  <c:v>23400</c:v>
                </c:pt>
                <c:pt idx="4">
                  <c:v>27200</c:v>
                </c:pt>
                <c:pt idx="5">
                  <c:v>31000</c:v>
                </c:pt>
                <c:pt idx="6">
                  <c:v>34800</c:v>
                </c:pt>
                <c:pt idx="7">
                  <c:v>36600</c:v>
                </c:pt>
                <c:pt idx="8">
                  <c:v>38400</c:v>
                </c:pt>
                <c:pt idx="9">
                  <c:v>40200</c:v>
                </c:pt>
                <c:pt idx="10">
                  <c:v>42000</c:v>
                </c:pt>
                <c:pt idx="11">
                  <c:v>43800</c:v>
                </c:pt>
                <c:pt idx="12">
                  <c:v>45600</c:v>
                </c:pt>
                <c:pt idx="13">
                  <c:v>47400</c:v>
                </c:pt>
                <c:pt idx="14">
                  <c:v>49200</c:v>
                </c:pt>
                <c:pt idx="15">
                  <c:v>51000</c:v>
                </c:pt>
                <c:pt idx="16">
                  <c:v>52800</c:v>
                </c:pt>
                <c:pt idx="17">
                  <c:v>54600</c:v>
                </c:pt>
                <c:pt idx="18">
                  <c:v>56400</c:v>
                </c:pt>
                <c:pt idx="19">
                  <c:v>58520</c:v>
                </c:pt>
                <c:pt idx="20">
                  <c:v>62084.123659029588</c:v>
                </c:pt>
                <c:pt idx="21">
                  <c:v>65290.043591833994</c:v>
                </c:pt>
                <c:pt idx="22">
                  <c:v>68651.847389869945</c:v>
                </c:pt>
                <c:pt idx="23">
                  <c:v>71720.378781378196</c:v>
                </c:pt>
                <c:pt idx="24">
                  <c:v>74523.546325782751</c:v>
                </c:pt>
                <c:pt idx="25">
                  <c:v>77086.602731933905</c:v>
                </c:pt>
                <c:pt idx="26">
                  <c:v>80232.397595706178</c:v>
                </c:pt>
                <c:pt idx="27">
                  <c:v>83181.606086433807</c:v>
                </c:pt>
                <c:pt idx="28">
                  <c:v>85952.935870954709</c:v>
                </c:pt>
                <c:pt idx="29">
                  <c:v>88563.314346227911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F5-41DC-8316-8E7AF9536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29743"/>
        <c:axId val="1243507695"/>
      </c:lineChart>
      <c:catAx>
        <c:axId val="12435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43507695"/>
        <c:crosses val="autoZero"/>
        <c:auto val="1"/>
        <c:lblAlgn val="ctr"/>
        <c:lblOffset val="100"/>
        <c:noMultiLvlLbl val="0"/>
      </c:catAx>
      <c:valAx>
        <c:axId val="12435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435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6</xdr:row>
      <xdr:rowOff>41910</xdr:rowOff>
    </xdr:from>
    <xdr:to>
      <xdr:col>9</xdr:col>
      <xdr:colOff>327660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13519-336B-43AF-911E-0066C043B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C61"/>
  <sheetViews>
    <sheetView workbookViewId="0">
      <pane ySplit="1" topLeftCell="A2" activePane="bottomLeft" state="frozen"/>
      <selection pane="bottomLeft" activeCell="C3" sqref="C3:C6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 hidden="1">
      <c r="A2" t="s">
        <v>3</v>
      </c>
      <c r="B2" s="1">
        <v>1</v>
      </c>
      <c r="C2" s="1">
        <v>10600</v>
      </c>
    </row>
    <row r="3" spans="1:3">
      <c r="A3" t="s">
        <v>4</v>
      </c>
      <c r="B3" s="1">
        <v>1</v>
      </c>
      <c r="C3" s="1">
        <v>9600</v>
      </c>
    </row>
    <row r="4" spans="1:3" hidden="1">
      <c r="A4" t="s">
        <v>3</v>
      </c>
      <c r="B4" s="1">
        <v>2</v>
      </c>
      <c r="C4" s="1">
        <v>16000</v>
      </c>
    </row>
    <row r="5" spans="1:3">
      <c r="A5" t="s">
        <v>4</v>
      </c>
      <c r="B5" s="1">
        <v>2</v>
      </c>
      <c r="C5" s="1">
        <v>14600</v>
      </c>
    </row>
    <row r="6" spans="1:3" hidden="1">
      <c r="A6" t="s">
        <v>3</v>
      </c>
      <c r="B6" s="1">
        <v>3</v>
      </c>
      <c r="C6" s="1">
        <v>21400</v>
      </c>
    </row>
    <row r="7" spans="1:3">
      <c r="A7" t="s">
        <v>4</v>
      </c>
      <c r="B7" s="1">
        <v>3</v>
      </c>
      <c r="C7" s="1">
        <v>19600</v>
      </c>
    </row>
    <row r="8" spans="1:3" hidden="1">
      <c r="A8" t="s">
        <v>3</v>
      </c>
      <c r="B8" s="1">
        <v>4</v>
      </c>
      <c r="C8" s="1">
        <v>24800</v>
      </c>
    </row>
    <row r="9" spans="1:3">
      <c r="A9" t="s">
        <v>4</v>
      </c>
      <c r="B9" s="1">
        <v>4</v>
      </c>
      <c r="C9" s="1">
        <v>23400</v>
      </c>
    </row>
    <row r="10" spans="1:3" hidden="1">
      <c r="A10" t="s">
        <v>3</v>
      </c>
      <c r="B10" s="1">
        <v>5</v>
      </c>
      <c r="C10" s="1">
        <v>28200</v>
      </c>
    </row>
    <row r="11" spans="1:3">
      <c r="A11" t="s">
        <v>4</v>
      </c>
      <c r="B11" s="1">
        <v>5</v>
      </c>
      <c r="C11" s="1">
        <v>27200</v>
      </c>
    </row>
    <row r="12" spans="1:3" hidden="1">
      <c r="A12" t="s">
        <v>3</v>
      </c>
      <c r="B12" s="1">
        <v>6</v>
      </c>
      <c r="C12" s="1">
        <v>31600</v>
      </c>
    </row>
    <row r="13" spans="1:3">
      <c r="A13" t="s">
        <v>4</v>
      </c>
      <c r="B13" s="1">
        <v>6</v>
      </c>
      <c r="C13" s="1">
        <v>31000</v>
      </c>
    </row>
    <row r="14" spans="1:3" hidden="1">
      <c r="A14" t="s">
        <v>3</v>
      </c>
      <c r="B14" s="1">
        <v>7</v>
      </c>
      <c r="C14" s="1">
        <v>35000</v>
      </c>
    </row>
    <row r="15" spans="1:3">
      <c r="A15" t="s">
        <v>4</v>
      </c>
      <c r="B15" s="1">
        <v>7</v>
      </c>
      <c r="C15" s="1">
        <v>34800</v>
      </c>
    </row>
    <row r="16" spans="1:3" hidden="1">
      <c r="A16" t="s">
        <v>3</v>
      </c>
      <c r="B16" s="1">
        <v>8</v>
      </c>
      <c r="C16" s="1">
        <v>36200</v>
      </c>
    </row>
    <row r="17" spans="1:3">
      <c r="A17" t="s">
        <v>4</v>
      </c>
      <c r="B17" s="1">
        <v>8</v>
      </c>
      <c r="C17" s="1">
        <v>36600</v>
      </c>
    </row>
    <row r="18" spans="1:3" hidden="1">
      <c r="A18" t="s">
        <v>3</v>
      </c>
      <c r="B18" s="1">
        <v>9</v>
      </c>
      <c r="C18" s="1">
        <v>37400</v>
      </c>
    </row>
    <row r="19" spans="1:3">
      <c r="A19" t="s">
        <v>4</v>
      </c>
      <c r="B19" s="1">
        <v>9</v>
      </c>
      <c r="C19" s="1">
        <v>38400</v>
      </c>
    </row>
    <row r="20" spans="1:3" hidden="1">
      <c r="A20" t="s">
        <v>3</v>
      </c>
      <c r="B20" s="1">
        <v>10</v>
      </c>
      <c r="C20" s="1">
        <v>38600</v>
      </c>
    </row>
    <row r="21" spans="1:3">
      <c r="A21" t="s">
        <v>4</v>
      </c>
      <c r="B21" s="1">
        <v>10</v>
      </c>
      <c r="C21" s="1">
        <v>40200</v>
      </c>
    </row>
    <row r="22" spans="1:3" hidden="1">
      <c r="A22" t="s">
        <v>3</v>
      </c>
      <c r="B22" s="1">
        <v>11</v>
      </c>
      <c r="C22" s="1">
        <v>39800</v>
      </c>
    </row>
    <row r="23" spans="1:3">
      <c r="A23" t="s">
        <v>4</v>
      </c>
      <c r="B23" s="1">
        <v>11</v>
      </c>
      <c r="C23" s="1">
        <v>42000</v>
      </c>
    </row>
    <row r="24" spans="1:3" hidden="1">
      <c r="A24" t="s">
        <v>3</v>
      </c>
      <c r="B24" s="1">
        <v>12</v>
      </c>
      <c r="C24" s="1">
        <v>41000</v>
      </c>
    </row>
    <row r="25" spans="1:3">
      <c r="A25" t="s">
        <v>4</v>
      </c>
      <c r="B25" s="1">
        <v>12</v>
      </c>
      <c r="C25" s="1">
        <v>43800</v>
      </c>
    </row>
    <row r="26" spans="1:3" hidden="1">
      <c r="A26" t="s">
        <v>3</v>
      </c>
      <c r="B26" s="1">
        <v>13</v>
      </c>
      <c r="C26" s="1">
        <v>42200</v>
      </c>
    </row>
    <row r="27" spans="1:3">
      <c r="A27" t="s">
        <v>4</v>
      </c>
      <c r="B27" s="1">
        <v>13</v>
      </c>
      <c r="C27" s="1">
        <v>45600</v>
      </c>
    </row>
    <row r="28" spans="1:3" hidden="1">
      <c r="A28" t="s">
        <v>3</v>
      </c>
      <c r="B28" s="1">
        <v>14</v>
      </c>
      <c r="C28" s="1">
        <v>43400</v>
      </c>
    </row>
    <row r="29" spans="1:3">
      <c r="A29" t="s">
        <v>4</v>
      </c>
      <c r="B29" s="1">
        <v>14</v>
      </c>
      <c r="C29" s="1">
        <v>47400</v>
      </c>
    </row>
    <row r="30" spans="1:3" hidden="1">
      <c r="A30" t="s">
        <v>3</v>
      </c>
      <c r="B30" s="1">
        <v>15</v>
      </c>
      <c r="C30" s="1">
        <v>44600</v>
      </c>
    </row>
    <row r="31" spans="1:3">
      <c r="A31" t="s">
        <v>4</v>
      </c>
      <c r="B31" s="1">
        <v>15</v>
      </c>
      <c r="C31" s="1">
        <v>49200</v>
      </c>
    </row>
    <row r="32" spans="1:3" hidden="1">
      <c r="A32" t="s">
        <v>3</v>
      </c>
      <c r="B32" s="1">
        <v>16</v>
      </c>
      <c r="C32" s="1">
        <v>45800</v>
      </c>
    </row>
    <row r="33" spans="1:3">
      <c r="A33" t="s">
        <v>4</v>
      </c>
      <c r="B33" s="1">
        <v>16</v>
      </c>
      <c r="C33" s="1">
        <v>51000</v>
      </c>
    </row>
    <row r="34" spans="1:3" hidden="1">
      <c r="A34" t="s">
        <v>3</v>
      </c>
      <c r="B34" s="1">
        <v>17</v>
      </c>
      <c r="C34" s="1">
        <v>47000</v>
      </c>
    </row>
    <row r="35" spans="1:3">
      <c r="A35" t="s">
        <v>4</v>
      </c>
      <c r="B35" s="1">
        <v>17</v>
      </c>
      <c r="C35" s="1">
        <v>52800</v>
      </c>
    </row>
    <row r="36" spans="1:3" hidden="1">
      <c r="A36" t="s">
        <v>3</v>
      </c>
      <c r="B36" s="1">
        <v>18</v>
      </c>
      <c r="C36" s="1">
        <v>48200</v>
      </c>
    </row>
    <row r="37" spans="1:3">
      <c r="A37" t="s">
        <v>4</v>
      </c>
      <c r="B37" s="1">
        <v>18</v>
      </c>
      <c r="C37" s="1">
        <v>54600</v>
      </c>
    </row>
    <row r="38" spans="1:3" hidden="1">
      <c r="A38" t="s">
        <v>3</v>
      </c>
      <c r="B38" s="1">
        <v>19</v>
      </c>
      <c r="C38" s="1">
        <v>49400</v>
      </c>
    </row>
    <row r="39" spans="1:3">
      <c r="A39" t="s">
        <v>4</v>
      </c>
      <c r="B39" s="1">
        <v>19</v>
      </c>
      <c r="C39" s="1">
        <v>56400</v>
      </c>
    </row>
    <row r="40" spans="1:3" hidden="1">
      <c r="A40" t="s">
        <v>3</v>
      </c>
      <c r="B40" s="1">
        <v>20</v>
      </c>
      <c r="C40" s="1">
        <v>51000</v>
      </c>
    </row>
    <row r="41" spans="1:3">
      <c r="A41" t="s">
        <v>4</v>
      </c>
      <c r="B41" s="1">
        <v>20</v>
      </c>
      <c r="C41" s="1">
        <v>58520</v>
      </c>
    </row>
    <row r="42" spans="1:3" hidden="1">
      <c r="A42" t="s">
        <v>3</v>
      </c>
      <c r="B42" s="1">
        <v>21</v>
      </c>
      <c r="C42" s="1">
        <v>54155.310826367611</v>
      </c>
    </row>
    <row r="43" spans="1:3">
      <c r="A43" t="s">
        <v>4</v>
      </c>
      <c r="B43" s="1">
        <v>21</v>
      </c>
      <c r="C43" s="1">
        <v>62084.123659029588</v>
      </c>
    </row>
    <row r="44" spans="1:3" hidden="1">
      <c r="A44" t="s">
        <v>3</v>
      </c>
      <c r="B44" s="1">
        <v>22</v>
      </c>
      <c r="C44" s="1">
        <v>56845.264101716421</v>
      </c>
    </row>
    <row r="45" spans="1:3">
      <c r="A45" t="s">
        <v>4</v>
      </c>
      <c r="B45" s="1">
        <v>22</v>
      </c>
      <c r="C45" s="1">
        <v>65290.043591833994</v>
      </c>
    </row>
    <row r="46" spans="1:3" hidden="1">
      <c r="A46" t="s">
        <v>3</v>
      </c>
      <c r="B46" s="1">
        <v>23</v>
      </c>
      <c r="C46" s="1">
        <v>59922.482254686001</v>
      </c>
    </row>
    <row r="47" spans="1:3">
      <c r="A47" t="s">
        <v>4</v>
      </c>
      <c r="B47" s="1">
        <v>23</v>
      </c>
      <c r="C47" s="1">
        <v>68651.847389869945</v>
      </c>
    </row>
    <row r="48" spans="1:3" hidden="1">
      <c r="A48" t="s">
        <v>3</v>
      </c>
      <c r="B48" s="1">
        <v>24</v>
      </c>
      <c r="C48" s="1">
        <v>62633.637192666494</v>
      </c>
    </row>
    <row r="49" spans="1:3">
      <c r="A49" t="s">
        <v>4</v>
      </c>
      <c r="B49" s="1">
        <v>24</v>
      </c>
      <c r="C49" s="1">
        <v>71720.378781378196</v>
      </c>
    </row>
    <row r="50" spans="1:3" hidden="1">
      <c r="A50" t="s">
        <v>3</v>
      </c>
      <c r="B50" s="1">
        <v>25</v>
      </c>
      <c r="C50" s="1">
        <v>65020.12318414278</v>
      </c>
    </row>
    <row r="51" spans="1:3">
      <c r="A51" t="s">
        <v>4</v>
      </c>
      <c r="B51" s="1">
        <v>25</v>
      </c>
      <c r="C51" s="1">
        <v>74523.546325782751</v>
      </c>
    </row>
    <row r="52" spans="1:3" hidden="1">
      <c r="A52" t="s">
        <v>3</v>
      </c>
      <c r="B52" s="1">
        <v>26</v>
      </c>
      <c r="C52" s="1">
        <v>67118.653651797053</v>
      </c>
    </row>
    <row r="53" spans="1:3">
      <c r="A53" t="s">
        <v>4</v>
      </c>
      <c r="B53" s="1">
        <v>26</v>
      </c>
      <c r="C53" s="1">
        <v>77086.602731933905</v>
      </c>
    </row>
    <row r="54" spans="1:3" hidden="1">
      <c r="A54" t="s">
        <v>3</v>
      </c>
      <c r="B54" s="1">
        <v>27</v>
      </c>
      <c r="C54" s="1">
        <v>69841.790480507974</v>
      </c>
    </row>
    <row r="55" spans="1:3">
      <c r="A55" t="s">
        <v>4</v>
      </c>
      <c r="B55" s="1">
        <v>27</v>
      </c>
      <c r="C55" s="1">
        <v>80232.397595706178</v>
      </c>
    </row>
    <row r="56" spans="1:3" hidden="1">
      <c r="A56" t="s">
        <v>3</v>
      </c>
      <c r="B56" s="1">
        <v>28</v>
      </c>
      <c r="C56" s="1">
        <v>72338.41347143249</v>
      </c>
    </row>
    <row r="57" spans="1:3">
      <c r="A57" t="s">
        <v>4</v>
      </c>
      <c r="B57" s="1">
        <v>28</v>
      </c>
      <c r="C57" s="1">
        <v>83181.606086433807</v>
      </c>
    </row>
    <row r="58" spans="1:3" hidden="1">
      <c r="A58" t="s">
        <v>3</v>
      </c>
      <c r="B58" s="1">
        <v>29</v>
      </c>
      <c r="C58" s="1">
        <v>74634.136710425009</v>
      </c>
    </row>
    <row r="59" spans="1:3">
      <c r="A59" t="s">
        <v>4</v>
      </c>
      <c r="B59" s="1">
        <v>29</v>
      </c>
      <c r="C59" s="1">
        <v>85952.935870954709</v>
      </c>
    </row>
    <row r="60" spans="1:3" hidden="1">
      <c r="A60" t="s">
        <v>3</v>
      </c>
      <c r="B60" s="1">
        <v>30</v>
      </c>
      <c r="C60" s="1">
        <v>76751.677853697634</v>
      </c>
    </row>
    <row r="61" spans="1:3">
      <c r="A61" t="s">
        <v>4</v>
      </c>
      <c r="B61" s="1">
        <v>30</v>
      </c>
      <c r="C61" s="1">
        <v>88563.314346227911</v>
      </c>
    </row>
  </sheetData>
  <autoFilter ref="A1:C61" xr:uid="{00000000-0001-0000-0000-000000000000}">
    <filterColumn colId="0">
      <filters>
        <filter val="B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3D7A-3420-44BE-9166-639144FFA1E4}">
  <dimension ref="B3:AF5"/>
  <sheetViews>
    <sheetView tabSelected="1" workbookViewId="0">
      <selection activeCell="N11" sqref="N11"/>
    </sheetView>
  </sheetViews>
  <sheetFormatPr defaultRowHeight="14.4"/>
  <sheetData>
    <row r="3" spans="2:32">
      <c r="B3" t="s">
        <v>6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2:32">
      <c r="B4" t="s">
        <v>3</v>
      </c>
      <c r="C4" s="1">
        <v>10600</v>
      </c>
      <c r="D4" s="1">
        <v>16000</v>
      </c>
      <c r="E4" s="1">
        <v>21400</v>
      </c>
      <c r="F4" s="1">
        <v>24800</v>
      </c>
      <c r="G4" s="1">
        <v>28200</v>
      </c>
      <c r="H4" s="1">
        <v>31600</v>
      </c>
      <c r="I4" s="1">
        <v>35000</v>
      </c>
      <c r="J4" s="1">
        <v>36200</v>
      </c>
      <c r="K4" s="1">
        <v>37400</v>
      </c>
      <c r="L4" s="1">
        <v>38600</v>
      </c>
      <c r="M4" s="1">
        <v>39800</v>
      </c>
      <c r="N4" s="1">
        <v>41000</v>
      </c>
      <c r="O4" s="1">
        <v>42200</v>
      </c>
      <c r="P4" s="1">
        <v>43400</v>
      </c>
      <c r="Q4" s="1">
        <v>44600</v>
      </c>
      <c r="R4" s="1">
        <v>45800</v>
      </c>
      <c r="S4" s="1">
        <v>47000</v>
      </c>
      <c r="T4" s="1">
        <v>48200</v>
      </c>
      <c r="U4" s="1">
        <v>49400</v>
      </c>
      <c r="V4" s="1">
        <v>51000</v>
      </c>
      <c r="W4" s="1">
        <v>54155.310826367611</v>
      </c>
      <c r="X4" s="1">
        <v>56845.264101716421</v>
      </c>
      <c r="Y4" s="1">
        <v>59922.482254686001</v>
      </c>
      <c r="Z4" s="1">
        <v>62633.637192666494</v>
      </c>
      <c r="AA4" s="1">
        <v>65020.12318414278</v>
      </c>
      <c r="AB4" s="1">
        <v>67118.653651797053</v>
      </c>
      <c r="AC4" s="1">
        <v>69841.790480507974</v>
      </c>
      <c r="AD4" s="1">
        <v>72338.41347143249</v>
      </c>
      <c r="AE4" s="1">
        <v>74634.136710425009</v>
      </c>
      <c r="AF4" s="1">
        <v>76751.677853697634</v>
      </c>
    </row>
    <row r="5" spans="2:32">
      <c r="B5" t="s">
        <v>4</v>
      </c>
      <c r="C5" s="1">
        <v>9600</v>
      </c>
      <c r="D5" s="1">
        <v>14600</v>
      </c>
      <c r="E5" s="1">
        <v>19600</v>
      </c>
      <c r="F5" s="1">
        <v>23400</v>
      </c>
      <c r="G5" s="1">
        <v>27200</v>
      </c>
      <c r="H5" s="1">
        <v>31000</v>
      </c>
      <c r="I5" s="1">
        <v>34800</v>
      </c>
      <c r="J5" s="1">
        <v>36600</v>
      </c>
      <c r="K5" s="1">
        <v>38400</v>
      </c>
      <c r="L5" s="1">
        <v>40200</v>
      </c>
      <c r="M5" s="1">
        <v>42000</v>
      </c>
      <c r="N5" s="1">
        <v>43800</v>
      </c>
      <c r="O5" s="1">
        <v>45600</v>
      </c>
      <c r="P5" s="1">
        <v>47400</v>
      </c>
      <c r="Q5" s="1">
        <v>49200</v>
      </c>
      <c r="R5" s="1">
        <v>51000</v>
      </c>
      <c r="S5" s="1">
        <v>52800</v>
      </c>
      <c r="T5" s="1">
        <v>54600</v>
      </c>
      <c r="U5" s="1">
        <v>56400</v>
      </c>
      <c r="V5" s="1">
        <v>58520</v>
      </c>
      <c r="W5" s="1">
        <v>62084.123659029588</v>
      </c>
      <c r="X5" s="1">
        <v>65290.043591833994</v>
      </c>
      <c r="Y5" s="1">
        <v>68651.847389869945</v>
      </c>
      <c r="Z5" s="1">
        <v>71720.378781378196</v>
      </c>
      <c r="AA5" s="1">
        <v>74523.546325782751</v>
      </c>
      <c r="AB5" s="1">
        <v>77086.602731933905</v>
      </c>
      <c r="AC5" s="1">
        <v>80232.397595706178</v>
      </c>
      <c r="AD5" s="1">
        <v>83181.606086433807</v>
      </c>
      <c r="AE5" s="1">
        <v>85952.935870954709</v>
      </c>
      <c r="AF5" s="1">
        <v>88563.314346227911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146ecc00-791b-4dd9-9e39-4a7afdcdfc15</TitusGUID>
</titus>
</file>

<file path=customXml/itemProps1.xml><?xml version="1.0" encoding="utf-8"?>
<ds:datastoreItem xmlns:ds="http://schemas.openxmlformats.org/officeDocument/2006/customXml" ds:itemID="{5EC6338C-3E6F-4C44-9219-D337977D2E4A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Batuhan Atiş (Genel Müdürlük İhtiyat Kadro)</cp:lastModifiedBy>
  <dcterms:created xsi:type="dcterms:W3CDTF">2025-11-23T22:54:54Z</dcterms:created>
  <dcterms:modified xsi:type="dcterms:W3CDTF">2025-11-23T23:00:00Z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146ecc00-791b-4dd9-9e39-4a7afdcdfc15</vt:lpwstr>
  </property>
</Properties>
</file>
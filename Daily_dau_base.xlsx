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6268\Desktop\Vertigo\"/>
    </mc:Choice>
  </mc:AlternateContent>
  <xr:revisionPtr revIDLastSave="0" documentId="13_ncr:1_{ECFA20E9-D730-47D4-AA31-910650FDD2D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ort Worksheet" sheetId="1" r:id="rId1"/>
    <sheet name="Sheet1" sheetId="3" r:id="rId2"/>
    <sheet name="SQL" sheetId="2" r:id="rId3"/>
  </sheets>
  <definedNames>
    <definedName name="_xlnm._FilterDatabase" localSheetId="0" hidden="1">'Export Worksheet'!$A$1:$C$61</definedName>
  </definedNames>
  <calcPr calcId="0"/>
</workbook>
</file>

<file path=xl/sharedStrings.xml><?xml version="1.0" encoding="utf-8"?>
<sst xmlns="http://schemas.openxmlformats.org/spreadsheetml/2006/main" count="66" uniqueCount="6">
  <si>
    <t>VARIANT</t>
  </si>
  <si>
    <t>CALENDAR_DAY</t>
  </si>
  <si>
    <t>DAU</t>
  </si>
  <si>
    <t>A</t>
  </si>
  <si>
    <t>B</t>
  </si>
  <si>
    <t>WITH
-- 1) Günler: 1..30
days(day) AS (
  SELECT 1 FROM dual
  UNION ALL
  SELECT day + 1 FROM days WHERE day &lt; 30
),
-- 2) Variant metrikleri
variants AS (
  SELECT 'A' AS variant,
         0.0305 AS daily_purchase_ratio,
         9.8    AS ecpm,
         2.3    AS ad_imp_per_dau,
         0.53   AS r1,
         0.27   AS r3,
         0.17   AS r7,
         0.06   AS r14
  FROM dual
  UNION ALL
  SELECT 'B',
         0.0315,
         10.8,
         1.6,
         0.48,
         0.25,
         0.19,
         0.09
  FROM dual
),
-- 3) Cohort ve calendar günleri
cohort as (
  select day AS cohort_day from days
),
calendar as (
  select day as calendar_day from days
),
-- 4) Base retention (step function)
cohort_age_base as (
  SELECT
    v.variant,
    c.cohort_day,
    d.calendar_day,
    (d.calendar_day - c.cohort_day + 1) AS age
  FROM variants v
  CROSS JOIN cohort c
  JOIN calendar d
    ON d.calendar_day &gt;= c.cohort_day
),
assumed_ret as (
select distinct
v.variant,
d.age,
case 
    when d.age=1 then v.r1
    when d.age=2 then (v.r1 + v.r3)/2 
    when d.age=3 then v.r3
    when d.age&gt;3 and d.age &lt; 7 then v.r3 - (v.r3 - v.r7)/4 * (d.age - 3)
    when d.age=7 then v.r7
    when d.age&gt;7 and d.age &lt; 14 then v.r7 - (v.r7 - v.r14)/7 * (d.age - 7)
    when d.age&gt;=14 then v.r14
    end as retention
    from variants v
    cross join cohort_age_base d
    order by d.age
    )
    ,
-- 5) Base DAU (20.000 install/gün)
daily_dau_base AS (
  SELECT
    b.variant,
    a.calendar_day,
    SUM(20000 * b.retention) AS dau
  FROM cohort_age_base a
  join assumed_ret b
  on a.age=b.age
  and a.variant = b.variant
  GROUP BY b.variant, a.calendar_day
  order by b.variant, a.calendar_day
),
-- 6) Base günlük gelir (purchase + ads)
daily_revenue_base AS (
  SELECT
    d.variant,
    d.calendar_day,
    (d.dau * v.daily_purchase_ratio) AS purchase_rev,
    (d.dau * v.ad_imp_per_dau * (v.ecpm / 1000)) AS ad_rev
  FROM daily_dau_base d
  JOIN variants v
    ON d.variant = v.variant
),
-- 7) 10 günlük sale senaryosu (Day 15–24, purchase ratio +0.01)
daily_revenue_sale AS (
  SELECT
    d.variant,
    d.calendar_day,
    (d.dau *
      CASE
        WHEN d.calendar_day BETWEEN 15 AND 24
          THEN v.daily_purchase_ratio + 0.01
        ELSE v.daily_purchase_ratio
      END
    ) AS total_rev_sale_purchase,
    (d.dau * v.ad_imp_per_dau * (v.ecpm / 1000)) AS total_rev_sale_ads
  FROM daily_dau_base d
  JOIN variants v
    ON d.variant = v.variant
),
-- 8) Yeni user source senaryosu için retention tabloları
old_source_retention AS (
  SELECT
    variant,
    age,
    retention
  FROM assumed_ret 
),
new_source_retention AS (
  SELECT
    v.variant,
    d.day AS age,
    CASE
      WHEN v.variant = 'A'
        THEN 0.58 * EXP(-0.12 * (d.day - 1))
      WHEN v.variant = 'B'
        THEN 0.52 * EXP(-0.10 * (d.day - 1))
    END AS retention
  FROM variants v
  CROSS JOIN days d
),
-- 9) Yeni source: cohort + aktif kullanıcı sayısı
--    Day 1–19: sadece eski source (20k)
--    Day 20+: 12k eski + 8k yeni
cohort_age_newsource AS (
  SELECT
    v.variant,
    c.cohort_day,
    d.calendar_day,
    (d.calendar_day - c.cohort_day + 1) AS age,
    CASE
      WHEN c.cohort_day &lt; 20 THEN
        20000 * o.retention
      ELSE
        12000 * o.retention + 8000 * n.retention
    END AS active_users
  FROM variants v
  CROSS JOIN cohort c
  JOIN calendar d
    ON d.calendar_day &gt;= c.cohort_day
  JOIN old_source_retention o
    ON o.variant = v.variant
   AND o.age = (d.calendar_day - c.cohort_day + 1)
  JOIN new_source_retention n
    ON n.variant = v.variant
   AND n.age = (d.calendar_day - c.cohort_day + 1)
),
daily_dau_newsource AS (
  SELECT
    variant,
    calendar_day,
    SUM(active_users) AS dau
  FROM cohort_age_newsource
  GROUP BY variant, calendar_day
),
daily_revenue_newsource AS (
  SELECT
    d.variant,
    d.calendar_day,
    (d.dau * v.daily_purchase_ratio) AS purchase_rev,
    (d.dau * v.ad_imp_per_dau * (v.ecpm / 1000)) AS ad_rev
  FROM daily_dau_newsource d
  JOIN variants v
    ON d.variant = v.variant
)
select * from daily_dau_base
--select variant, calendar_day, purchase_rev, ad_rev from daily_revenue_base order by calendar_day, variant
-- 10) Cevaplar
 /* SELECT
  'A' AS Question,
  b.variant,
  15 AS day_limit,
  b.dau AS value
FROM daily_dau_base b
WHERE b.calendar_day = 15
UNION ALL
SELECT
  'B' AS Question,
  r.variant,
  15 AS day_limit,
  SUM(r.purchase_rev + r.ad_rev) AS value
FROM daily_revenue_base r
WHERE r.calendar_day &lt;= 15
GROUP BY r.variant
UNION ALL
SELECT
  'C' AS Question,
  r.variant,
  30 AS day_limit,
  SUM(r.purchase_rev + r.ad_rev) AS value
FROM daily_revenue_base r
WHERE r.calendar_day &lt;= 30
GROUP BY r.variant
UNION ALL
SELECT
  'D' AS Question,
  r.variant,
  30 AS day_limit,
  SUM(r.total_rev_sale_purchase + r.total_rev_sale_ads) AS value
FROM daily_revenue_sale r
WHERE r.calendar_day &lt;= 30
GROUP BY r.variant
UNION ALL
SELECT
  'E' AS Question,
  r.variant,
  30 AS day_limit,
  SUM(r.purchase_rev + r.ad_rev) AS value
FROM daily_revenue_newsource r
WHERE r.calendar_day &lt;= 30
GROUP BY r.variant
ORDER BY Question, variant 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</si>
</sst>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Dau</a:t>
            </a:r>
            <a:r>
              <a:rPr lang="tr-TR" baseline="0"/>
              <a:t> After 15 Days in normal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Sheet1!$C$5:$Q$5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Sheet1!$C$6:$Q$6</c:f>
              <c:numCache>
                <c:formatCode>General</c:formatCode>
                <c:ptCount val="15"/>
                <c:pt idx="0">
                  <c:v>10600</c:v>
                </c:pt>
                <c:pt idx="1">
                  <c:v>18600</c:v>
                </c:pt>
                <c:pt idx="2">
                  <c:v>24000</c:v>
                </c:pt>
                <c:pt idx="3">
                  <c:v>28900</c:v>
                </c:pt>
                <c:pt idx="4">
                  <c:v>33300</c:v>
                </c:pt>
                <c:pt idx="5">
                  <c:v>37200</c:v>
                </c:pt>
                <c:pt idx="6">
                  <c:v>40600</c:v>
                </c:pt>
                <c:pt idx="7">
                  <c:v>43685.714285714283</c:v>
                </c:pt>
                <c:pt idx="8">
                  <c:v>46457.142857142855</c:v>
                </c:pt>
                <c:pt idx="9">
                  <c:v>48914.285714285717</c:v>
                </c:pt>
                <c:pt idx="10">
                  <c:v>51057.142857142855</c:v>
                </c:pt>
                <c:pt idx="11">
                  <c:v>52885.714285714283</c:v>
                </c:pt>
                <c:pt idx="12">
                  <c:v>54400</c:v>
                </c:pt>
                <c:pt idx="13">
                  <c:v>55600</c:v>
                </c:pt>
                <c:pt idx="14">
                  <c:v>56800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2-4842-AD52-B4A519B7DD2C}"/>
            </c:ext>
          </c:extLst>
        </c:ser>
        <c:ser>
          <c:idx val="1"/>
          <c:order val="1"/>
          <c:tx>
            <c:strRef>
              <c:f>Sheet1!$B$7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Sheet1!$C$5:$Q$5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Sheet1!$C$7:$Q$7</c:f>
              <c:numCache>
                <c:formatCode>General</c:formatCode>
                <c:ptCount val="15"/>
                <c:pt idx="0">
                  <c:v>9600</c:v>
                </c:pt>
                <c:pt idx="1">
                  <c:v>16900</c:v>
                </c:pt>
                <c:pt idx="2">
                  <c:v>21900</c:v>
                </c:pt>
                <c:pt idx="3">
                  <c:v>26600</c:v>
                </c:pt>
                <c:pt idx="4">
                  <c:v>31000</c:v>
                </c:pt>
                <c:pt idx="5">
                  <c:v>35100</c:v>
                </c:pt>
                <c:pt idx="6">
                  <c:v>38900</c:v>
                </c:pt>
                <c:pt idx="7">
                  <c:v>42414.285714285717</c:v>
                </c:pt>
                <c:pt idx="8">
                  <c:v>45642.857142857145</c:v>
                </c:pt>
                <c:pt idx="9">
                  <c:v>48585.714285714283</c:v>
                </c:pt>
                <c:pt idx="10">
                  <c:v>51242.857142857145</c:v>
                </c:pt>
                <c:pt idx="11">
                  <c:v>53614.285714285717</c:v>
                </c:pt>
                <c:pt idx="12">
                  <c:v>55700</c:v>
                </c:pt>
                <c:pt idx="13">
                  <c:v>57500</c:v>
                </c:pt>
                <c:pt idx="14">
                  <c:v>59300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2-4842-AD52-B4A519B7D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761615"/>
        <c:axId val="1027765359"/>
      </c:lineChart>
      <c:catAx>
        <c:axId val="102776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27765359"/>
        <c:crosses val="autoZero"/>
        <c:auto val="1"/>
        <c:lblAlgn val="ctr"/>
        <c:lblOffset val="100"/>
        <c:noMultiLvlLbl val="0"/>
      </c:catAx>
      <c:valAx>
        <c:axId val="10277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2776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49530</xdr:rowOff>
    </xdr:from>
    <xdr:to>
      <xdr:col>15</xdr:col>
      <xdr:colOff>228600</xdr:colOff>
      <xdr:row>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1BB61-092B-48A1-8088-6E274EAD4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C61"/>
  <sheetViews>
    <sheetView workbookViewId="0">
      <pane ySplit="1" topLeftCell="A2" activePane="bottomLeft" state="frozen"/>
      <selection pane="bottomLeft" activeCell="C32" sqref="C32:C46"/>
    </sheetView>
  </sheetViews>
  <sheetFormatPr defaultRowHeight="14.4"/>
  <cols>
    <col min="2" max="2" width="14.3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 hidden="1">
      <c r="A2" t="s">
        <v>3</v>
      </c>
      <c r="B2" s="1">
        <v>1</v>
      </c>
      <c r="C2" s="1">
        <v>10600</v>
      </c>
    </row>
    <row r="3" spans="1:3" hidden="1">
      <c r="A3" t="s">
        <v>3</v>
      </c>
      <c r="B3" s="1">
        <v>2</v>
      </c>
      <c r="C3" s="1">
        <v>18600</v>
      </c>
    </row>
    <row r="4" spans="1:3" hidden="1">
      <c r="A4" t="s">
        <v>3</v>
      </c>
      <c r="B4" s="1">
        <v>3</v>
      </c>
      <c r="C4" s="1">
        <v>24000</v>
      </c>
    </row>
    <row r="5" spans="1:3" hidden="1">
      <c r="A5" t="s">
        <v>3</v>
      </c>
      <c r="B5" s="1">
        <v>4</v>
      </c>
      <c r="C5" s="1">
        <v>28900</v>
      </c>
    </row>
    <row r="6" spans="1:3" hidden="1">
      <c r="A6" t="s">
        <v>3</v>
      </c>
      <c r="B6" s="1">
        <v>5</v>
      </c>
      <c r="C6" s="1">
        <v>33300</v>
      </c>
    </row>
    <row r="7" spans="1:3" hidden="1">
      <c r="A7" t="s">
        <v>3</v>
      </c>
      <c r="B7" s="1">
        <v>6</v>
      </c>
      <c r="C7" s="1">
        <v>37200</v>
      </c>
    </row>
    <row r="8" spans="1:3" hidden="1">
      <c r="A8" t="s">
        <v>3</v>
      </c>
      <c r="B8" s="1">
        <v>7</v>
      </c>
      <c r="C8" s="1">
        <v>40600</v>
      </c>
    </row>
    <row r="9" spans="1:3" hidden="1">
      <c r="A9" t="s">
        <v>3</v>
      </c>
      <c r="B9" s="1">
        <v>8</v>
      </c>
      <c r="C9" s="1">
        <v>43685.714285714283</v>
      </c>
    </row>
    <row r="10" spans="1:3" hidden="1">
      <c r="A10" t="s">
        <v>3</v>
      </c>
      <c r="B10" s="1">
        <v>9</v>
      </c>
      <c r="C10" s="1">
        <v>46457.142857142855</v>
      </c>
    </row>
    <row r="11" spans="1:3" hidden="1">
      <c r="A11" t="s">
        <v>3</v>
      </c>
      <c r="B11" s="1">
        <v>10</v>
      </c>
      <c r="C11" s="1">
        <v>48914.285714285717</v>
      </c>
    </row>
    <row r="12" spans="1:3" hidden="1">
      <c r="A12" t="s">
        <v>3</v>
      </c>
      <c r="B12" s="1">
        <v>11</v>
      </c>
      <c r="C12" s="1">
        <v>51057.142857142855</v>
      </c>
    </row>
    <row r="13" spans="1:3" hidden="1">
      <c r="A13" t="s">
        <v>3</v>
      </c>
      <c r="B13" s="1">
        <v>12</v>
      </c>
      <c r="C13" s="1">
        <v>52885.714285714283</v>
      </c>
    </row>
    <row r="14" spans="1:3" hidden="1">
      <c r="A14" t="s">
        <v>3</v>
      </c>
      <c r="B14" s="1">
        <v>13</v>
      </c>
      <c r="C14" s="1">
        <v>54400</v>
      </c>
    </row>
    <row r="15" spans="1:3" hidden="1">
      <c r="A15" t="s">
        <v>3</v>
      </c>
      <c r="B15" s="1">
        <v>14</v>
      </c>
      <c r="C15" s="1">
        <v>55600</v>
      </c>
    </row>
    <row r="16" spans="1:3" hidden="1">
      <c r="A16" t="s">
        <v>3</v>
      </c>
      <c r="B16" s="1">
        <v>15</v>
      </c>
      <c r="C16" s="1">
        <v>56800</v>
      </c>
    </row>
    <row r="17" spans="1:3" hidden="1">
      <c r="A17" t="s">
        <v>3</v>
      </c>
      <c r="B17" s="1">
        <v>16</v>
      </c>
      <c r="C17" s="1">
        <v>58000</v>
      </c>
    </row>
    <row r="18" spans="1:3" hidden="1">
      <c r="A18" t="s">
        <v>3</v>
      </c>
      <c r="B18" s="1">
        <v>17</v>
      </c>
      <c r="C18" s="1">
        <v>59200</v>
      </c>
    </row>
    <row r="19" spans="1:3" hidden="1">
      <c r="A19" t="s">
        <v>3</v>
      </c>
      <c r="B19" s="1">
        <v>18</v>
      </c>
      <c r="C19" s="1">
        <v>60400</v>
      </c>
    </row>
    <row r="20" spans="1:3" hidden="1">
      <c r="A20" t="s">
        <v>3</v>
      </c>
      <c r="B20" s="1">
        <v>19</v>
      </c>
      <c r="C20" s="1">
        <v>61600</v>
      </c>
    </row>
    <row r="21" spans="1:3" hidden="1">
      <c r="A21" t="s">
        <v>3</v>
      </c>
      <c r="B21" s="1">
        <v>20</v>
      </c>
      <c r="C21" s="1">
        <v>62800</v>
      </c>
    </row>
    <row r="22" spans="1:3" hidden="1">
      <c r="A22" t="s">
        <v>3</v>
      </c>
      <c r="B22" s="1">
        <v>21</v>
      </c>
      <c r="C22" s="1">
        <v>64000</v>
      </c>
    </row>
    <row r="23" spans="1:3" hidden="1">
      <c r="A23" t="s">
        <v>3</v>
      </c>
      <c r="B23" s="1">
        <v>22</v>
      </c>
      <c r="C23" s="1">
        <v>65200</v>
      </c>
    </row>
    <row r="24" spans="1:3" hidden="1">
      <c r="A24" t="s">
        <v>3</v>
      </c>
      <c r="B24" s="1">
        <v>23</v>
      </c>
      <c r="C24" s="1">
        <v>66400</v>
      </c>
    </row>
    <row r="25" spans="1:3" hidden="1">
      <c r="A25" t="s">
        <v>3</v>
      </c>
      <c r="B25" s="1">
        <v>24</v>
      </c>
      <c r="C25" s="1">
        <v>67600</v>
      </c>
    </row>
    <row r="26" spans="1:3" hidden="1">
      <c r="A26" t="s">
        <v>3</v>
      </c>
      <c r="B26" s="1">
        <v>25</v>
      </c>
      <c r="C26" s="1">
        <v>68800</v>
      </c>
    </row>
    <row r="27" spans="1:3" hidden="1">
      <c r="A27" t="s">
        <v>3</v>
      </c>
      <c r="B27" s="1">
        <v>26</v>
      </c>
      <c r="C27" s="1">
        <v>70000</v>
      </c>
    </row>
    <row r="28" spans="1:3" hidden="1">
      <c r="A28" t="s">
        <v>3</v>
      </c>
      <c r="B28" s="1">
        <v>27</v>
      </c>
      <c r="C28" s="1">
        <v>71200</v>
      </c>
    </row>
    <row r="29" spans="1:3" hidden="1">
      <c r="A29" t="s">
        <v>3</v>
      </c>
      <c r="B29" s="1">
        <v>28</v>
      </c>
      <c r="C29" s="1">
        <v>72400</v>
      </c>
    </row>
    <row r="30" spans="1:3" hidden="1">
      <c r="A30" t="s">
        <v>3</v>
      </c>
      <c r="B30" s="1">
        <v>29</v>
      </c>
      <c r="C30" s="1">
        <v>73600</v>
      </c>
    </row>
    <row r="31" spans="1:3" hidden="1">
      <c r="A31" t="s">
        <v>3</v>
      </c>
      <c r="B31" s="1">
        <v>30</v>
      </c>
      <c r="C31" s="1">
        <v>74800</v>
      </c>
    </row>
    <row r="32" spans="1:3">
      <c r="A32" t="s">
        <v>4</v>
      </c>
      <c r="B32" s="1">
        <v>1</v>
      </c>
      <c r="C32" s="1">
        <v>9600</v>
      </c>
    </row>
    <row r="33" spans="1:3">
      <c r="A33" t="s">
        <v>4</v>
      </c>
      <c r="B33" s="1">
        <v>2</v>
      </c>
      <c r="C33" s="1">
        <v>16900</v>
      </c>
    </row>
    <row r="34" spans="1:3">
      <c r="A34" t="s">
        <v>4</v>
      </c>
      <c r="B34" s="1">
        <v>3</v>
      </c>
      <c r="C34" s="1">
        <v>21900</v>
      </c>
    </row>
    <row r="35" spans="1:3">
      <c r="A35" t="s">
        <v>4</v>
      </c>
      <c r="B35" s="1">
        <v>4</v>
      </c>
      <c r="C35" s="1">
        <v>26600</v>
      </c>
    </row>
    <row r="36" spans="1:3">
      <c r="A36" t="s">
        <v>4</v>
      </c>
      <c r="B36" s="1">
        <v>5</v>
      </c>
      <c r="C36" s="1">
        <v>31000</v>
      </c>
    </row>
    <row r="37" spans="1:3">
      <c r="A37" t="s">
        <v>4</v>
      </c>
      <c r="B37" s="1">
        <v>6</v>
      </c>
      <c r="C37" s="1">
        <v>35100</v>
      </c>
    </row>
    <row r="38" spans="1:3">
      <c r="A38" t="s">
        <v>4</v>
      </c>
      <c r="B38" s="1">
        <v>7</v>
      </c>
      <c r="C38" s="1">
        <v>38900</v>
      </c>
    </row>
    <row r="39" spans="1:3">
      <c r="A39" t="s">
        <v>4</v>
      </c>
      <c r="B39" s="1">
        <v>8</v>
      </c>
      <c r="C39" s="1">
        <v>42414.285714285717</v>
      </c>
    </row>
    <row r="40" spans="1:3">
      <c r="A40" t="s">
        <v>4</v>
      </c>
      <c r="B40" s="1">
        <v>9</v>
      </c>
      <c r="C40" s="1">
        <v>45642.857142857145</v>
      </c>
    </row>
    <row r="41" spans="1:3">
      <c r="A41" t="s">
        <v>4</v>
      </c>
      <c r="B41" s="1">
        <v>10</v>
      </c>
      <c r="C41" s="1">
        <v>48585.714285714283</v>
      </c>
    </row>
    <row r="42" spans="1:3">
      <c r="A42" t="s">
        <v>4</v>
      </c>
      <c r="B42" s="1">
        <v>11</v>
      </c>
      <c r="C42" s="1">
        <v>51242.857142857145</v>
      </c>
    </row>
    <row r="43" spans="1:3">
      <c r="A43" t="s">
        <v>4</v>
      </c>
      <c r="B43" s="1">
        <v>12</v>
      </c>
      <c r="C43" s="1">
        <v>53614.285714285717</v>
      </c>
    </row>
    <row r="44" spans="1:3">
      <c r="A44" t="s">
        <v>4</v>
      </c>
      <c r="B44" s="1">
        <v>13</v>
      </c>
      <c r="C44" s="1">
        <v>55700</v>
      </c>
    </row>
    <row r="45" spans="1:3">
      <c r="A45" t="s">
        <v>4</v>
      </c>
      <c r="B45" s="1">
        <v>14</v>
      </c>
      <c r="C45" s="1">
        <v>57500</v>
      </c>
    </row>
    <row r="46" spans="1:3">
      <c r="A46" t="s">
        <v>4</v>
      </c>
      <c r="B46" s="1">
        <v>15</v>
      </c>
      <c r="C46" s="1">
        <v>59300</v>
      </c>
    </row>
    <row r="47" spans="1:3">
      <c r="A47" t="s">
        <v>4</v>
      </c>
      <c r="B47" s="1">
        <v>16</v>
      </c>
      <c r="C47" s="1">
        <v>61100</v>
      </c>
    </row>
    <row r="48" spans="1:3">
      <c r="A48" t="s">
        <v>4</v>
      </c>
      <c r="B48" s="1">
        <v>17</v>
      </c>
      <c r="C48" s="1">
        <v>62900</v>
      </c>
    </row>
    <row r="49" spans="1:3">
      <c r="A49" t="s">
        <v>4</v>
      </c>
      <c r="B49" s="1">
        <v>18</v>
      </c>
      <c r="C49" s="1">
        <v>64700</v>
      </c>
    </row>
    <row r="50" spans="1:3">
      <c r="A50" t="s">
        <v>4</v>
      </c>
      <c r="B50" s="1">
        <v>19</v>
      </c>
      <c r="C50" s="1">
        <v>66500</v>
      </c>
    </row>
    <row r="51" spans="1:3">
      <c r="A51" t="s">
        <v>4</v>
      </c>
      <c r="B51" s="1">
        <v>20</v>
      </c>
      <c r="C51" s="1">
        <v>68300</v>
      </c>
    </row>
    <row r="52" spans="1:3">
      <c r="A52" t="s">
        <v>4</v>
      </c>
      <c r="B52" s="1">
        <v>21</v>
      </c>
      <c r="C52" s="1">
        <v>70100</v>
      </c>
    </row>
    <row r="53" spans="1:3">
      <c r="A53" t="s">
        <v>4</v>
      </c>
      <c r="B53" s="1">
        <v>22</v>
      </c>
      <c r="C53" s="1">
        <v>71900</v>
      </c>
    </row>
    <row r="54" spans="1:3">
      <c r="A54" t="s">
        <v>4</v>
      </c>
      <c r="B54" s="1">
        <v>23</v>
      </c>
      <c r="C54" s="1">
        <v>73700</v>
      </c>
    </row>
    <row r="55" spans="1:3">
      <c r="A55" t="s">
        <v>4</v>
      </c>
      <c r="B55" s="1">
        <v>24</v>
      </c>
      <c r="C55" s="1">
        <v>75500</v>
      </c>
    </row>
    <row r="56" spans="1:3">
      <c r="A56" t="s">
        <v>4</v>
      </c>
      <c r="B56" s="1">
        <v>25</v>
      </c>
      <c r="C56" s="1">
        <v>77300</v>
      </c>
    </row>
    <row r="57" spans="1:3">
      <c r="A57" t="s">
        <v>4</v>
      </c>
      <c r="B57" s="1">
        <v>26</v>
      </c>
      <c r="C57" s="1">
        <v>79100</v>
      </c>
    </row>
    <row r="58" spans="1:3">
      <c r="A58" t="s">
        <v>4</v>
      </c>
      <c r="B58" s="1">
        <v>27</v>
      </c>
      <c r="C58" s="1">
        <v>80900</v>
      </c>
    </row>
    <row r="59" spans="1:3">
      <c r="A59" t="s">
        <v>4</v>
      </c>
      <c r="B59" s="1">
        <v>28</v>
      </c>
      <c r="C59" s="1">
        <v>82700</v>
      </c>
    </row>
    <row r="60" spans="1:3">
      <c r="A60" t="s">
        <v>4</v>
      </c>
      <c r="B60" s="1">
        <v>29</v>
      </c>
      <c r="C60" s="1">
        <v>84500</v>
      </c>
    </row>
    <row r="61" spans="1:3">
      <c r="A61" t="s">
        <v>4</v>
      </c>
      <c r="B61" s="1">
        <v>30</v>
      </c>
      <c r="C61" s="1">
        <v>86300</v>
      </c>
    </row>
  </sheetData>
  <autoFilter ref="A1:C61" xr:uid="{00000000-0001-0000-0000-000000000000}">
    <filterColumn colId="0">
      <filters>
        <filter val="B"/>
      </filters>
    </filterColumn>
  </autoFilter>
  <pageMargins left="0.7" right="0.7" top="0.75" bottom="0.75" header="0.3" footer="0.3"/>
  <pageSetup paperSize="9" orientation="portrait" r:id="rId1"/>
  <headerFooter>
    <oddFooter>&amp;L&amp;"Calibri,Regular"&amp;10&amp;K333333Akbank Kamuya Açık Veri İçerir &amp;&amp; Kişisel Veri İçermez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846D-BC21-43F2-AD78-3130D503B56C}">
  <dimension ref="B5:AF7"/>
  <sheetViews>
    <sheetView tabSelected="1" workbookViewId="0">
      <selection activeCell="R12" sqref="R12"/>
    </sheetView>
  </sheetViews>
  <sheetFormatPr defaultRowHeight="14.4"/>
  <sheetData>
    <row r="5" spans="2:32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  <c r="AB5">
        <v>26</v>
      </c>
      <c r="AC5">
        <v>27</v>
      </c>
      <c r="AD5">
        <v>28</v>
      </c>
      <c r="AE5">
        <v>29</v>
      </c>
      <c r="AF5">
        <v>30</v>
      </c>
    </row>
    <row r="6" spans="2:32">
      <c r="B6" t="s">
        <v>3</v>
      </c>
      <c r="C6" s="1">
        <v>10600</v>
      </c>
      <c r="D6" s="1">
        <v>18600</v>
      </c>
      <c r="E6" s="1">
        <v>24000</v>
      </c>
      <c r="F6" s="1">
        <v>28900</v>
      </c>
      <c r="G6" s="1">
        <v>33300</v>
      </c>
      <c r="H6" s="1">
        <v>37200</v>
      </c>
      <c r="I6" s="1">
        <v>40600</v>
      </c>
      <c r="J6" s="1">
        <v>43685.714285714283</v>
      </c>
      <c r="K6" s="1">
        <v>46457.142857142855</v>
      </c>
      <c r="L6" s="1">
        <v>48914.285714285717</v>
      </c>
      <c r="M6" s="1">
        <v>51057.142857142855</v>
      </c>
      <c r="N6" s="1">
        <v>52885.714285714283</v>
      </c>
      <c r="O6" s="1">
        <v>54400</v>
      </c>
      <c r="P6" s="1">
        <v>55600</v>
      </c>
      <c r="Q6" s="1">
        <v>56800</v>
      </c>
    </row>
    <row r="7" spans="2:32">
      <c r="B7" t="s">
        <v>4</v>
      </c>
      <c r="C7" s="1">
        <v>9600</v>
      </c>
      <c r="D7" s="1">
        <v>16900</v>
      </c>
      <c r="E7" s="1">
        <v>21900</v>
      </c>
      <c r="F7" s="1">
        <v>26600</v>
      </c>
      <c r="G7" s="1">
        <v>31000</v>
      </c>
      <c r="H7" s="1">
        <v>35100</v>
      </c>
      <c r="I7" s="1">
        <v>38900</v>
      </c>
      <c r="J7" s="1">
        <v>42414.285714285717</v>
      </c>
      <c r="K7" s="1">
        <v>45642.857142857145</v>
      </c>
      <c r="L7" s="1">
        <v>48585.714285714283</v>
      </c>
      <c r="M7" s="1">
        <v>51242.857142857145</v>
      </c>
      <c r="N7" s="1">
        <v>53614.285714285717</v>
      </c>
      <c r="O7" s="1">
        <v>55700</v>
      </c>
      <c r="P7" s="1">
        <v>57500</v>
      </c>
      <c r="Q7" s="1">
        <v>59300</v>
      </c>
    </row>
  </sheetData>
  <pageMargins left="0.7" right="0.7" top="0.75" bottom="0.75" header="0.3" footer="0.3"/>
  <pageSetup paperSize="9" orientation="portrait" r:id="rId1"/>
  <headerFooter>
    <oddFooter>&amp;L&amp;"Calibri,Regular"&amp;10&amp;K333333Akbank Kamuya Açık Veri İçerir &amp;&amp; Kişisel Veri İçermez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5</v>
      </c>
    </row>
  </sheetData>
  <pageMargins left="0.7" right="0.7" top="0.75" bottom="0.75" header="0.3" footer="0.3"/>
  <pageSetup paperSize="9" orientation="portrait" r:id="rId1"/>
  <headerFooter>
    <oddFooter>&amp;L&amp;"Calibri,Regular"&amp;10&amp;K333333Akbank Kamuya Açık Veri İçerir &amp;&amp; Kişisel Veri İçermez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8ac80e62-3b83-4d9b-8a4b-dca6cc627af2</TitusGUID>
  <TitusMetadata xmlns="">eyJucyI6IkFLQkFOSy1VUkkiLCJwcm9wcyI6W3sibiI6IkNsYXNzaWZpY2F0aW9uIiwidmFscyI6W3sidmFsdWUiOiJLYVE0VzZlcEdJIn1dfSx7Im4iOiJZYXJkaW0iLCJ2YWxzIjpbXX0seyJuIjoiS1ZLSyIsInZhbHMiOlt7InZhbHVlIjoiS3YxTmFsdTh1WiJ9XX0seyJuIjoiWWFyZGltMiIsInZhbHMiOltdfSx7Im4iOiJTaGFyZSIsInZhbHMiOlt7InZhbHVlIjoieGJjMWhwMmYifV19LHsibiI6IkV0aWtldCIsInZhbHMiOlt7InZhbHVlIjoiRTJ4NmdDMDIifV19XX0=</TitusMetadata>
</titus>
</file>

<file path=customXml/itemProps1.xml><?xml version="1.0" encoding="utf-8"?>
<ds:datastoreItem xmlns:ds="http://schemas.openxmlformats.org/officeDocument/2006/customXml" ds:itemID="{47E754FA-7BF9-46C3-9AF3-DA2AAE5F9BCE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Batuhan Atiş (Genel Müdürlük İhtiyat Kadro)</cp:lastModifiedBy>
  <dcterms:created xsi:type="dcterms:W3CDTF">2025-11-24T13:07:25Z</dcterms:created>
  <dcterms:modified xsi:type="dcterms:W3CDTF">2025-11-24T13:26:58Z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8ac80e62-3b83-4d9b-8a4b-dca6cc627af2</vt:lpwstr>
  </property>
  <property fmtid="{D5CDD505-2E9C-101B-9397-08002B2CF9AE}" pid="3" name="Classification">
    <vt:lpwstr>KaQ4W6epGI</vt:lpwstr>
  </property>
  <property fmtid="{D5CDD505-2E9C-101B-9397-08002B2CF9AE}" pid="4" name="KVKK">
    <vt:lpwstr>Kv1Nalu8uZ</vt:lpwstr>
  </property>
  <property fmtid="{D5CDD505-2E9C-101B-9397-08002B2CF9AE}" pid="5" name="Share">
    <vt:lpwstr>xbc1hp2f</vt:lpwstr>
  </property>
  <property fmtid="{D5CDD505-2E9C-101B-9397-08002B2CF9AE}" pid="6" name="Etiket">
    <vt:lpwstr>E2x6gC02</vt:lpwstr>
  </property>
</Properties>
</file>